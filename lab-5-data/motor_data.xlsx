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dy\Documents\Misc\"/>
    </mc:Choice>
  </mc:AlternateContent>
  <xr:revisionPtr revIDLastSave="0" documentId="13_ncr:1_{14BE9219-857B-4D38-A15E-B6A199DAFC62}" xr6:coauthVersionLast="47" xr6:coauthVersionMax="47" xr10:uidLastSave="{00000000-0000-0000-0000-000000000000}"/>
  <bookViews>
    <workbookView xWindow="3756" yWindow="-17388" windowWidth="30936" windowHeight="16956" xr2:uid="{BE6B903D-AC10-4DFE-A8EA-EDC9651C10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0" i="1" l="1"/>
  <c r="C29" i="1"/>
  <c r="D29" i="1"/>
  <c r="C28" i="1"/>
  <c r="D28" i="1"/>
  <c r="C2" i="1"/>
  <c r="C6" i="1"/>
  <c r="C13" i="1"/>
  <c r="D2" i="1"/>
  <c r="D6" i="1"/>
  <c r="D13" i="1"/>
  <c r="D5" i="1"/>
  <c r="D7" i="1"/>
  <c r="D8" i="1"/>
  <c r="D9" i="1"/>
  <c r="D10" i="1"/>
  <c r="D11" i="1"/>
  <c r="D12" i="1"/>
  <c r="D14" i="1"/>
  <c r="D21" i="1"/>
  <c r="D20" i="1"/>
  <c r="D19" i="1"/>
  <c r="D18" i="1"/>
  <c r="D15" i="1"/>
  <c r="D17" i="1"/>
  <c r="D16" i="1"/>
  <c r="D22" i="1"/>
  <c r="D23" i="1"/>
  <c r="D24" i="1"/>
  <c r="D25" i="1"/>
  <c r="D26" i="1"/>
  <c r="D27" i="1"/>
  <c r="D3" i="1"/>
  <c r="D4" i="1"/>
  <c r="C5" i="1"/>
  <c r="C7" i="1"/>
  <c r="C8" i="1"/>
  <c r="C9" i="1"/>
  <c r="C10" i="1"/>
  <c r="C11" i="1"/>
  <c r="C12" i="1"/>
  <c r="C14" i="1"/>
  <c r="C21" i="1"/>
  <c r="C20" i="1"/>
  <c r="C19" i="1"/>
  <c r="C18" i="1"/>
  <c r="C15" i="1"/>
  <c r="C17" i="1"/>
  <c r="C16" i="1"/>
  <c r="C22" i="1"/>
  <c r="C23" i="1"/>
  <c r="C24" i="1"/>
  <c r="C25" i="1"/>
  <c r="C26" i="1"/>
  <c r="C27" i="1"/>
  <c r="C3" i="1"/>
  <c r="C4" i="1"/>
</calcChain>
</file>

<file path=xl/sharedStrings.xml><?xml version="1.0" encoding="utf-8"?>
<sst xmlns="http://schemas.openxmlformats.org/spreadsheetml/2006/main" count="4" uniqueCount="4">
  <si>
    <t>Edge Delay (s)</t>
  </si>
  <si>
    <t>Period (s)</t>
  </si>
  <si>
    <t>Motor Speed (rev/s)</t>
  </si>
  <si>
    <t>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</si>
</sst>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E+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164" fontId="1" fillId="0" borderId="0" xfId="0" applyNumberFormat="1" applyFont="1"/>
  </cellXfs>
  <cellStyles count="1">
    <cellStyle name="Normal" xfId="0" builtinId="0"/>
  </cellStyles>
  <dxfs count="8">
    <dxf>
      <numFmt numFmtId="164" formatCode="0.000"/>
    </dxf>
    <dxf>
      <numFmt numFmtId="164" formatCode="0.000"/>
    </dxf>
    <dxf>
      <numFmt numFmtId="165" formatCode="0.000E+00"/>
    </dxf>
    <dxf>
      <numFmt numFmtId="165" formatCode="0.000E+00"/>
    </dxf>
    <dxf>
      <numFmt numFmtId="164" formatCode="0.000"/>
    </dxf>
    <dxf>
      <numFmt numFmtId="164" formatCode="0.000"/>
    </dxf>
    <dxf>
      <numFmt numFmtId="165" formatCode="0.000E+00"/>
    </dxf>
    <dxf>
      <numFmt numFmtId="165" formatCode="0.000E+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38692F-0B68-4CB2-A7D2-58372A38691A}" name="Table1" displayName="Table1" ref="A1:D30" totalsRowCount="1">
  <autoFilter ref="A1:D29" xr:uid="{B138692F-0B68-4CB2-A7D2-58372A38691A}"/>
  <sortState xmlns:xlrd2="http://schemas.microsoft.com/office/spreadsheetml/2017/richdata2" ref="A2:D27">
    <sortCondition ref="C1:C27"/>
  </sortState>
  <tableColumns count="4">
    <tableColumn id="1" xr3:uid="{877F98C1-45B7-43A6-AD2F-983E1B5F9E8D}" name="Edge Delay (s)" dataDxfId="7" totalsRowDxfId="3"/>
    <tableColumn id="2" xr3:uid="{97A42E0A-0412-4016-B9E0-C7D89BF3BEAA}" name="Period (s)" dataDxfId="6" totalsRowDxfId="2"/>
    <tableColumn id="3" xr3:uid="{04DDBE80-2D8F-4610-A8D3-FDBADBA7A83E}" name="Motor Speed (rev/s)" dataDxfId="5" totalsRowDxfId="1">
      <calculatedColumnFormula xml:space="preserve"> 1 / (120 * B2)</calculatedColumnFormula>
    </tableColumn>
    <tableColumn id="4" xr3:uid="{C81A0611-9C39-40A3-8F57-58062F3FBE27}" name="r" totalsRowFunction="custom" dataDxfId="4" totalsRowDxfId="0">
      <calculatedColumnFormula xml:space="preserve"> B2 / A2</calculatedColumnFormula>
      <totalsRowFormula>AVERAGE(Table1[r])</totalsRow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726EC-D2B3-4921-AF20-B79EB6DBE3BF}">
  <dimension ref="A1:F30"/>
  <sheetViews>
    <sheetView tabSelected="1" zoomScale="130" zoomScaleNormal="130" workbookViewId="0">
      <selection activeCell="F25" sqref="F25"/>
    </sheetView>
  </sheetViews>
  <sheetFormatPr defaultRowHeight="14.25" x14ac:dyDescent="0.45"/>
  <cols>
    <col min="1" max="1" width="13.33203125" style="2" customWidth="1"/>
    <col min="2" max="2" width="12.46484375" style="2" customWidth="1"/>
    <col min="3" max="3" width="17.796875" style="1" customWidth="1"/>
    <col min="4" max="4" width="7.9296875" style="1" customWidth="1"/>
    <col min="6" max="6" width="11.19921875" customWidth="1"/>
    <col min="7" max="7" width="11.1328125" customWidth="1"/>
    <col min="10" max="10" width="14.1328125" customWidth="1"/>
  </cols>
  <sheetData>
    <row r="1" spans="1:6" s="3" customFormat="1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6" x14ac:dyDescent="0.45">
      <c r="A2" s="2">
        <v>3.9779999999999998E-3</v>
      </c>
      <c r="B2" s="2">
        <v>1.7441000000000002E-2</v>
      </c>
      <c r="C2" s="1">
        <f t="shared" ref="C2:C29" si="0" xml:space="preserve"> 1 / (120 * B2)</f>
        <v>0.47780134931101037</v>
      </c>
      <c r="D2" s="1">
        <f t="shared" ref="D2:D29" si="1" xml:space="preserve"> B2 / A2</f>
        <v>4.3843640020110612</v>
      </c>
      <c r="F2" s="4"/>
    </row>
    <row r="3" spans="1:6" x14ac:dyDescent="0.45">
      <c r="A3" s="2">
        <v>2.6329999999999999E-3</v>
      </c>
      <c r="B3" s="2">
        <v>1.1479E-2</v>
      </c>
      <c r="C3" s="1">
        <f t="shared" si="0"/>
        <v>0.7259633533699219</v>
      </c>
      <c r="D3" s="1">
        <f t="shared" si="1"/>
        <v>4.3596657804785419</v>
      </c>
    </row>
    <row r="4" spans="1:6" x14ac:dyDescent="0.45">
      <c r="A4" s="2">
        <v>1.9E-3</v>
      </c>
      <c r="B4" s="2">
        <v>8.3280000000000003E-3</v>
      </c>
      <c r="C4" s="1">
        <f t="shared" si="0"/>
        <v>1.0006404098623118</v>
      </c>
      <c r="D4" s="1">
        <f t="shared" si="1"/>
        <v>4.3831578947368426</v>
      </c>
    </row>
    <row r="5" spans="1:6" x14ac:dyDescent="0.45">
      <c r="A5" s="2">
        <v>1.24E-3</v>
      </c>
      <c r="B5" s="2">
        <v>5.365E-3</v>
      </c>
      <c r="C5" s="1">
        <f t="shared" si="0"/>
        <v>1.5532774153463809</v>
      </c>
      <c r="D5" s="1">
        <f t="shared" si="1"/>
        <v>4.3266129032258061</v>
      </c>
    </row>
    <row r="6" spans="1:6" x14ac:dyDescent="0.45">
      <c r="A6" s="2">
        <v>9.3999999999999997E-4</v>
      </c>
      <c r="B6" s="2">
        <v>4.0870000000000004E-3</v>
      </c>
      <c r="C6" s="1">
        <f t="shared" si="0"/>
        <v>2.0389854008645298</v>
      </c>
      <c r="D6" s="1">
        <f t="shared" si="1"/>
        <v>4.3478723404255328</v>
      </c>
    </row>
    <row r="7" spans="1:6" x14ac:dyDescent="0.45">
      <c r="A7" s="2">
        <v>8.0999999999999996E-4</v>
      </c>
      <c r="B7" s="2">
        <v>3.5349999999999999E-3</v>
      </c>
      <c r="C7" s="1">
        <f t="shared" si="0"/>
        <v>2.3573785950023574</v>
      </c>
      <c r="D7" s="1">
        <f t="shared" si="1"/>
        <v>4.3641975308641978</v>
      </c>
    </row>
    <row r="8" spans="1:6" x14ac:dyDescent="0.45">
      <c r="A8" s="2">
        <v>5.9699999999999998E-4</v>
      </c>
      <c r="B8" s="2">
        <v>2.5950000000000001E-3</v>
      </c>
      <c r="C8" s="1">
        <f t="shared" si="0"/>
        <v>3.2113037893384715</v>
      </c>
      <c r="D8" s="1">
        <f t="shared" si="1"/>
        <v>4.3467336683417086</v>
      </c>
    </row>
    <row r="9" spans="1:6" x14ac:dyDescent="0.45">
      <c r="A9" s="2">
        <v>4.727E-4</v>
      </c>
      <c r="B9" s="2">
        <v>2.0590000000000001E-3</v>
      </c>
      <c r="C9" s="1">
        <f t="shared" si="0"/>
        <v>4.0472721385785979</v>
      </c>
      <c r="D9" s="1">
        <f t="shared" si="1"/>
        <v>4.3558282208588954</v>
      </c>
    </row>
    <row r="10" spans="1:6" x14ac:dyDescent="0.45">
      <c r="A10" s="2">
        <v>3.9120000000000002E-4</v>
      </c>
      <c r="B10" s="2">
        <v>1.7210000000000001E-3</v>
      </c>
      <c r="C10" s="1">
        <f t="shared" si="0"/>
        <v>4.8421460391245397</v>
      </c>
      <c r="D10" s="1">
        <f t="shared" si="1"/>
        <v>4.399284253578732</v>
      </c>
    </row>
    <row r="11" spans="1:6" x14ac:dyDescent="0.45">
      <c r="A11" s="2">
        <v>3.3409999999999999E-4</v>
      </c>
      <c r="B11" s="2">
        <v>1.472E-3</v>
      </c>
      <c r="C11" s="1">
        <f t="shared" si="0"/>
        <v>5.6612318840579716</v>
      </c>
      <c r="D11" s="1">
        <f t="shared" si="1"/>
        <v>4.4058665070338225</v>
      </c>
    </row>
    <row r="12" spans="1:6" x14ac:dyDescent="0.45">
      <c r="A12" s="2">
        <v>2.9119999999999998E-4</v>
      </c>
      <c r="B12" s="2">
        <v>1.2830000000000001E-3</v>
      </c>
      <c r="C12" s="1">
        <f t="shared" si="0"/>
        <v>6.4951935567679913</v>
      </c>
      <c r="D12" s="1">
        <f t="shared" si="1"/>
        <v>4.405906593406594</v>
      </c>
    </row>
    <row r="13" spans="1:6" x14ac:dyDescent="0.45">
      <c r="A13" s="2">
        <v>2.5500000000000002E-4</v>
      </c>
      <c r="B13" s="2">
        <v>1.114E-3</v>
      </c>
      <c r="C13" s="1">
        <f t="shared" si="0"/>
        <v>7.4805505685218439</v>
      </c>
      <c r="D13" s="1">
        <f t="shared" si="1"/>
        <v>4.3686274509803917</v>
      </c>
    </row>
    <row r="14" spans="1:6" x14ac:dyDescent="0.45">
      <c r="A14" s="2">
        <v>2.32E-4</v>
      </c>
      <c r="B14" s="2">
        <v>1.016E-3</v>
      </c>
      <c r="C14" s="1">
        <f t="shared" si="0"/>
        <v>8.2020997375328086</v>
      </c>
      <c r="D14" s="1">
        <f t="shared" si="1"/>
        <v>4.3793103448275863</v>
      </c>
    </row>
    <row r="15" spans="1:6" x14ac:dyDescent="0.45">
      <c r="A15" s="2">
        <v>2.2890000000000001E-4</v>
      </c>
      <c r="B15" s="2">
        <v>9.9869999999999994E-4</v>
      </c>
      <c r="C15" s="1">
        <f t="shared" si="0"/>
        <v>8.3441807683321656</v>
      </c>
      <c r="D15" s="1">
        <f t="shared" si="1"/>
        <v>4.3630406290956749</v>
      </c>
    </row>
    <row r="16" spans="1:6" x14ac:dyDescent="0.45">
      <c r="A16" s="2">
        <v>2.2660000000000001E-4</v>
      </c>
      <c r="B16" s="2">
        <v>9.9120000000000002E-4</v>
      </c>
      <c r="C16" s="1">
        <f t="shared" si="0"/>
        <v>8.407317729351627</v>
      </c>
      <c r="D16" s="1">
        <f t="shared" si="1"/>
        <v>4.3742277140335393</v>
      </c>
    </row>
    <row r="17" spans="1:4" x14ac:dyDescent="0.45">
      <c r="A17" s="2">
        <v>2.276E-4</v>
      </c>
      <c r="B17" s="2">
        <v>9.875000000000001E-4</v>
      </c>
      <c r="C17" s="1">
        <f t="shared" si="0"/>
        <v>8.4388185654008439</v>
      </c>
      <c r="D17" s="1">
        <f t="shared" si="1"/>
        <v>4.3387521968365554</v>
      </c>
    </row>
    <row r="18" spans="1:4" x14ac:dyDescent="0.45">
      <c r="A18" s="2">
        <v>2.263E-4</v>
      </c>
      <c r="B18" s="2">
        <v>9.7999999999999997E-4</v>
      </c>
      <c r="C18" s="1">
        <f t="shared" si="0"/>
        <v>8.5034013605442187</v>
      </c>
      <c r="D18" s="1">
        <f t="shared" si="1"/>
        <v>4.3305346884666367</v>
      </c>
    </row>
    <row r="19" spans="1:4" x14ac:dyDescent="0.45">
      <c r="A19" s="2">
        <v>2.198E-4</v>
      </c>
      <c r="B19" s="2">
        <v>9.5100000000000002E-4</v>
      </c>
      <c r="C19" s="1">
        <f t="shared" si="0"/>
        <v>8.7627059235892037</v>
      </c>
      <c r="D19" s="1">
        <f t="shared" si="1"/>
        <v>4.3266606005459511</v>
      </c>
    </row>
    <row r="20" spans="1:4" x14ac:dyDescent="0.45">
      <c r="A20" s="2">
        <v>2.1000000000000001E-4</v>
      </c>
      <c r="B20" s="2">
        <v>9.0859999999999997E-4</v>
      </c>
      <c r="C20" s="1">
        <f t="shared" si="0"/>
        <v>9.1716193411108673</v>
      </c>
      <c r="D20" s="1">
        <f t="shared" si="1"/>
        <v>4.3266666666666662</v>
      </c>
    </row>
    <row r="21" spans="1:4" x14ac:dyDescent="0.45">
      <c r="A21" s="2">
        <v>1.9249999999999999E-4</v>
      </c>
      <c r="B21" s="2">
        <v>8.3330000000000003E-4</v>
      </c>
      <c r="C21" s="1">
        <f t="shared" si="0"/>
        <v>10.00040001600064</v>
      </c>
      <c r="D21" s="1">
        <f t="shared" si="1"/>
        <v>4.3288311688311696</v>
      </c>
    </row>
    <row r="22" spans="1:4" x14ac:dyDescent="0.45">
      <c r="A22" s="2">
        <v>1.6459999999999999E-4</v>
      </c>
      <c r="B22" s="2">
        <v>7.1980000000000004E-4</v>
      </c>
      <c r="C22" s="1">
        <f t="shared" si="0"/>
        <v>11.577289987959617</v>
      </c>
      <c r="D22" s="1">
        <f t="shared" si="1"/>
        <v>4.3730255164034029</v>
      </c>
    </row>
    <row r="23" spans="1:4" x14ac:dyDescent="0.45">
      <c r="A23" s="2">
        <v>1.44E-4</v>
      </c>
      <c r="B23" s="2">
        <v>6.2270000000000001E-4</v>
      </c>
      <c r="C23" s="1">
        <f t="shared" si="0"/>
        <v>13.38258123226808</v>
      </c>
      <c r="D23" s="1">
        <f t="shared" si="1"/>
        <v>4.3243055555555552</v>
      </c>
    </row>
    <row r="24" spans="1:4" x14ac:dyDescent="0.45">
      <c r="A24" s="2">
        <v>1.2870000000000001E-4</v>
      </c>
      <c r="B24" s="2">
        <v>5.6329999999999998E-4</v>
      </c>
      <c r="C24" s="1">
        <f t="shared" si="0"/>
        <v>14.793774779572756</v>
      </c>
      <c r="D24" s="1">
        <f t="shared" si="1"/>
        <v>4.3768453768453766</v>
      </c>
    </row>
    <row r="25" spans="1:4" x14ac:dyDescent="0.45">
      <c r="A25" s="2">
        <v>1.1730000000000001E-4</v>
      </c>
      <c r="B25" s="2">
        <v>5.1449999999999998E-4</v>
      </c>
      <c r="C25" s="1">
        <f t="shared" si="0"/>
        <v>16.196954972465178</v>
      </c>
      <c r="D25" s="1">
        <f t="shared" si="1"/>
        <v>4.3861892583120206</v>
      </c>
    </row>
    <row r="26" spans="1:4" x14ac:dyDescent="0.45">
      <c r="A26" s="2">
        <v>1.0670000000000001E-4</v>
      </c>
      <c r="B26" s="2">
        <v>4.684E-4</v>
      </c>
      <c r="C26" s="1">
        <f t="shared" si="0"/>
        <v>17.791061770566468</v>
      </c>
      <c r="D26" s="1">
        <f t="shared" si="1"/>
        <v>4.3898781630740391</v>
      </c>
    </row>
    <row r="27" spans="1:4" x14ac:dyDescent="0.45">
      <c r="A27" s="2">
        <v>9.8999999999999994E-5</v>
      </c>
      <c r="B27" s="2">
        <v>4.3482999999999998E-4</v>
      </c>
      <c r="C27" s="1">
        <f t="shared" si="0"/>
        <v>19.164577727694347</v>
      </c>
      <c r="D27" s="1">
        <f t="shared" si="1"/>
        <v>4.3922222222222222</v>
      </c>
    </row>
    <row r="28" spans="1:4" x14ac:dyDescent="0.45">
      <c r="A28" s="2">
        <v>9.1210000000000003E-5</v>
      </c>
      <c r="B28" s="2">
        <v>4.0089999999999999E-4</v>
      </c>
      <c r="C28" s="1">
        <f t="shared" si="0"/>
        <v>20.786563565311383</v>
      </c>
      <c r="D28" s="1">
        <f t="shared" si="1"/>
        <v>4.3953513869093301</v>
      </c>
    </row>
    <row r="29" spans="1:4" x14ac:dyDescent="0.45">
      <c r="A29" s="2">
        <v>8.106E-5</v>
      </c>
      <c r="B29" s="2">
        <v>3.5599999999999998E-4</v>
      </c>
      <c r="C29" s="1">
        <f t="shared" si="0"/>
        <v>23.408239700374533</v>
      </c>
      <c r="D29" s="1">
        <f t="shared" si="1"/>
        <v>4.3918085368862565</v>
      </c>
    </row>
    <row r="30" spans="1:4" x14ac:dyDescent="0.45">
      <c r="D30" s="1">
        <f>AVERAGE(Table1[r])</f>
        <v>4.3659202561233608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 Jones</dc:creator>
  <cp:lastModifiedBy>Connor Jones</cp:lastModifiedBy>
  <dcterms:created xsi:type="dcterms:W3CDTF">2026-10-05T05:38:11Z</dcterms:created>
  <dcterms:modified xsi:type="dcterms:W3CDTF">2026-10-06T16:48:32Z</dcterms:modified>
</cp:coreProperties>
</file>